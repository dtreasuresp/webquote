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nzb28.sharepoint.com/sites/DG/Documentos compartidos/CLIENTES/C006 - URBANÍSIMA CONSTRUCTORA SRL/"/>
    </mc:Choice>
  </mc:AlternateContent>
  <xr:revisionPtr revIDLastSave="0" documentId="8_{17F33827-29D1-4FCC-846F-B78032F790E0}" xr6:coauthVersionLast="47" xr6:coauthVersionMax="47" xr10:uidLastSave="{00000000-0000-0000-0000-000000000000}"/>
  <bookViews>
    <workbookView xWindow="21495" yWindow="0" windowWidth="21810" windowHeight="27105" xr2:uid="{4079DB61-B1AE-4EF9-80D7-060AE927B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B18" i="1" s="1"/>
  <c r="B17" i="1"/>
  <c r="H16" i="1"/>
  <c r="D16" i="1" s="1"/>
  <c r="G16" i="1"/>
  <c r="C16" i="1" s="1"/>
  <c r="H8" i="1"/>
  <c r="D8" i="1" s="1"/>
  <c r="G8" i="1"/>
  <c r="C8" i="1" s="1"/>
  <c r="F8" i="1"/>
  <c r="B8" i="1" s="1"/>
  <c r="H6" i="1"/>
  <c r="D6" i="1" s="1"/>
  <c r="G6" i="1"/>
  <c r="C6" i="1" s="1"/>
  <c r="F6" i="1"/>
  <c r="H4" i="1"/>
  <c r="G4" i="1"/>
  <c r="C4" i="1" s="1"/>
  <c r="F4" i="1"/>
  <c r="B4" i="1" s="1"/>
  <c r="H11" i="1"/>
  <c r="H13" i="1" s="1"/>
  <c r="D13" i="1" s="1"/>
  <c r="G11" i="1"/>
  <c r="C11" i="1" s="1"/>
  <c r="F11" i="1"/>
  <c r="B11" i="1" s="1"/>
  <c r="H1" i="1"/>
  <c r="G1" i="1"/>
  <c r="D2" i="1"/>
  <c r="C2" i="1"/>
  <c r="B2" i="1"/>
  <c r="D7" i="1"/>
  <c r="C7" i="1"/>
  <c r="B7" i="1"/>
  <c r="D5" i="1"/>
  <c r="C5" i="1"/>
  <c r="B5" i="1"/>
  <c r="D3" i="1"/>
  <c r="C3" i="1"/>
  <c r="B3" i="1"/>
  <c r="G17" i="1" l="1"/>
  <c r="C17" i="1" s="1"/>
  <c r="H17" i="1"/>
  <c r="D17" i="1" s="1"/>
  <c r="G18" i="1"/>
  <c r="C18" i="1" s="1"/>
  <c r="H18" i="1"/>
  <c r="D18" i="1" s="1"/>
  <c r="G9" i="1"/>
  <c r="C9" i="1" s="1"/>
  <c r="F9" i="1"/>
  <c r="F19" i="1" s="1"/>
  <c r="B19" i="1" s="1"/>
  <c r="H9" i="1"/>
  <c r="D4" i="1"/>
  <c r="B6" i="1"/>
  <c r="D11" i="1"/>
  <c r="F13" i="1"/>
  <c r="B13" i="1" s="1"/>
  <c r="G13" i="1"/>
  <c r="C13" i="1" s="1"/>
  <c r="B9" i="1"/>
  <c r="G19" i="1" l="1"/>
  <c r="C19" i="1" s="1"/>
  <c r="D9" i="1"/>
  <c r="H19" i="1"/>
  <c r="D19" i="1" s="1"/>
  <c r="F10" i="1"/>
  <c r="B10" i="1" s="1"/>
  <c r="G10" i="1"/>
  <c r="C10" i="1" s="1"/>
  <c r="H10" i="1"/>
  <c r="D10" i="1" s="1"/>
</calcChain>
</file>

<file path=xl/sharedStrings.xml><?xml version="1.0" encoding="utf-8"?>
<sst xmlns="http://schemas.openxmlformats.org/spreadsheetml/2006/main" count="28" uniqueCount="22">
  <si>
    <t>Característica</t>
  </si>
  <si>
    <t>CONSTRUCTOR</t>
  </si>
  <si>
    <t>OBRA MAESTRA ⭐</t>
  </si>
  <si>
    <t>IMPERIO DIGITAL</t>
  </si>
  <si>
    <t>INVERSIÓN DE DESARROLLO</t>
  </si>
  <si>
    <t>Hosting año 1 (primeros 3 meses)</t>
  </si>
  <si>
    <t>Hosting año 1 (9 meses)</t>
  </si>
  <si>
    <t>Mailbox año 1 (primeros 3 meses)</t>
  </si>
  <si>
    <t>Mailbox año 1 (9 meses)</t>
  </si>
  <si>
    <t>Dominio año 1 (primeros 3 meses)</t>
  </si>
  <si>
    <t>Dominio año 1 (9 meses)</t>
  </si>
  <si>
    <t>Inversión total año 1</t>
  </si>
  <si>
    <t>Inversión total año 2 en adelante</t>
  </si>
  <si>
    <t>Inversión del primer mes de desarrollo</t>
  </si>
  <si>
    <t>N/A</t>
  </si>
  <si>
    <r>
      <t>Inversión mensual año 1</t>
    </r>
    <r>
      <rPr>
        <sz val="11"/>
        <rFont val="Segoe UI"/>
        <family val="2"/>
      </rPr>
      <t> (Durante periodo gratis) (3 meses)</t>
    </r>
  </si>
  <si>
    <r>
      <t>Inversión mensual año 1</t>
    </r>
    <r>
      <rPr>
        <sz val="11"/>
        <rFont val="Segoe UI"/>
        <family val="2"/>
      </rPr>
      <t> (Luego del periodo gratis) (9 meses)</t>
    </r>
  </si>
  <si>
    <r>
      <t>Características con descuento</t>
    </r>
    <r>
      <rPr>
        <sz val="11"/>
        <rFont val="Segoe UI"/>
        <family val="2"/>
      </rPr>
      <t xml:space="preserve"> (Sólo desarrollo)</t>
    </r>
  </si>
  <si>
    <r>
      <t xml:space="preserve">Oferta especial </t>
    </r>
    <r>
      <rPr>
        <sz val="11"/>
        <rFont val="Segoe UI"/>
        <family val="2"/>
      </rPr>
      <t>(Sólo desarrollo)</t>
    </r>
  </si>
  <si>
    <r>
      <t xml:space="preserve">Inversión total año 1 </t>
    </r>
    <r>
      <rPr>
        <sz val="11"/>
        <rFont val="Segoe UI"/>
        <family val="2"/>
      </rPr>
      <t>(Con descuentos de desarrollo)</t>
    </r>
  </si>
  <si>
    <t>Ahorros por oferta especial por descuentos de desarrollo</t>
  </si>
  <si>
    <r>
      <t xml:space="preserve">Inversión del primer mes de desarrollo </t>
    </r>
    <r>
      <rPr>
        <sz val="11"/>
        <rFont val="Segoe UI"/>
        <family val="2"/>
      </rPr>
      <t>(Con descuentos de desarrollo)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</si>
</sst>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name val="Segoe UI"/>
      <family val="2"/>
    </font>
    <font>
      <sz val="11"/>
      <name val="Aptos Narrow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D87B-2400-44A6-8569-7F5F0F8E742E}">
  <dimension ref="A1:P22"/>
  <sheetViews>
    <sheetView tabSelected="1" zoomScale="85" zoomScaleNormal="85" workbookViewId="0">
      <selection activeCell="A19" sqref="A19:D19"/>
    </sheetView>
  </sheetViews>
  <sheetFormatPr baseColWidth="10" defaultRowHeight="15" x14ac:dyDescent="0.25"/>
  <cols>
    <col min="1" max="1" width="64.28515625" style="3" customWidth="1"/>
    <col min="2" max="4" width="28.85546875" style="3" customWidth="1"/>
    <col min="5" max="16384" width="11.42578125" style="3"/>
  </cols>
  <sheetData>
    <row r="1" spans="1:16" ht="16.5" x14ac:dyDescent="0.25">
      <c r="A1" s="1" t="s">
        <v>0</v>
      </c>
      <c r="B1" s="2" t="s">
        <v>1</v>
      </c>
      <c r="C1" s="2" t="s">
        <v>2</v>
      </c>
      <c r="D1" s="2" t="s">
        <v>3</v>
      </c>
      <c r="G1" s="7">
        <f>G2/F2</f>
        <v>1.3333333333333333</v>
      </c>
      <c r="H1" s="7">
        <f>H2/F2</f>
        <v>1.5866666666666667</v>
      </c>
    </row>
    <row r="2" spans="1:16" ht="16.5" x14ac:dyDescent="0.25">
      <c r="A2" s="1" t="s">
        <v>4</v>
      </c>
      <c r="B2" s="4" t="str">
        <f>"$"&amp;F2&amp;" USD"</f>
        <v>$150 USD</v>
      </c>
      <c r="C2" s="4" t="str">
        <f t="shared" ref="C2" si="0">"$"&amp;G2&amp;" USD"</f>
        <v>$200 USD</v>
      </c>
      <c r="D2" s="4" t="str">
        <f t="shared" ref="D2" si="1">"$"&amp;H2&amp;" USD"</f>
        <v>$238 USD</v>
      </c>
      <c r="F2" s="3">
        <v>150</v>
      </c>
      <c r="G2" s="3">
        <v>200</v>
      </c>
      <c r="H2" s="3">
        <v>238</v>
      </c>
    </row>
    <row r="3" spans="1:16" ht="16.5" x14ac:dyDescent="0.25">
      <c r="A3" s="1" t="s">
        <v>5</v>
      </c>
      <c r="B3" s="5" t="str">
        <f>"$"&amp;F3&amp;" (gratis)"</f>
        <v>$0 (gratis)</v>
      </c>
      <c r="C3" s="5" t="str">
        <f t="shared" ref="C3:D3" si="2">"$"&amp;G3&amp;" (gratis)"</f>
        <v>$0 (gratis)</v>
      </c>
      <c r="D3" s="5" t="str">
        <f t="shared" si="2"/>
        <v>$0 (gratis)</v>
      </c>
      <c r="F3" s="3">
        <v>0</v>
      </c>
      <c r="G3" s="3">
        <v>0</v>
      </c>
      <c r="H3" s="3">
        <v>0</v>
      </c>
    </row>
    <row r="4" spans="1:16" ht="16.5" x14ac:dyDescent="0.25">
      <c r="A4" s="1" t="s">
        <v>6</v>
      </c>
      <c r="B4" s="5" t="str">
        <f>"$"&amp;F4&amp;" USD"</f>
        <v>$252 USD</v>
      </c>
      <c r="C4" s="5" t="str">
        <f t="shared" ref="C4:D4" si="3">"$"&amp;G4&amp;" USD"</f>
        <v>$315 USD</v>
      </c>
      <c r="D4" s="5" t="str">
        <f t="shared" si="3"/>
        <v>$360 USD</v>
      </c>
      <c r="F4" s="3">
        <f>F20*9</f>
        <v>252</v>
      </c>
      <c r="G4" s="3">
        <f>G20*9</f>
        <v>315</v>
      </c>
      <c r="H4" s="3">
        <f>H20*9</f>
        <v>360</v>
      </c>
    </row>
    <row r="5" spans="1:16" ht="16.5" x14ac:dyDescent="0.25">
      <c r="A5" s="1" t="s">
        <v>7</v>
      </c>
      <c r="B5" s="5" t="str">
        <f>"$"&amp;F5&amp;" (gratis)"</f>
        <v>$0 (gratis)</v>
      </c>
      <c r="C5" s="5" t="str">
        <f t="shared" ref="C5" si="4">"$"&amp;G5&amp;" (gratis)"</f>
        <v>$0 (gratis)</v>
      </c>
      <c r="D5" s="5" t="str">
        <f t="shared" ref="D5" si="5">"$"&amp;H5&amp;" (gratis)"</f>
        <v>$0 (gratis)</v>
      </c>
      <c r="F5" s="3">
        <v>0</v>
      </c>
      <c r="G5" s="3">
        <v>0</v>
      </c>
      <c r="H5" s="3">
        <v>0</v>
      </c>
    </row>
    <row r="6" spans="1:16" ht="16.5" x14ac:dyDescent="0.25">
      <c r="A6" s="1" t="s">
        <v>8</v>
      </c>
      <c r="B6" s="5" t="str">
        <f>"$"&amp;F6&amp;" USD"</f>
        <v>$36 USD</v>
      </c>
      <c r="C6" s="5" t="str">
        <f t="shared" ref="C6" si="6">"$"&amp;G6&amp;" USD"</f>
        <v>$36 USD</v>
      </c>
      <c r="D6" s="5" t="str">
        <f t="shared" ref="D6" si="7">"$"&amp;H6&amp;" USD"</f>
        <v>$36 USD</v>
      </c>
      <c r="F6" s="3">
        <f>F21*9</f>
        <v>36</v>
      </c>
      <c r="G6" s="3">
        <f>G21*9</f>
        <v>36</v>
      </c>
      <c r="H6" s="3">
        <f>H21*9</f>
        <v>36</v>
      </c>
    </row>
    <row r="7" spans="1:16" ht="16.5" x14ac:dyDescent="0.25">
      <c r="A7" s="1" t="s">
        <v>9</v>
      </c>
      <c r="B7" s="5" t="str">
        <f>"$"&amp;F7&amp;" (gratis)"</f>
        <v>$0 (gratis)</v>
      </c>
      <c r="C7" s="5" t="str">
        <f t="shared" ref="C7" si="8">"$"&amp;G7&amp;" (gratis)"</f>
        <v>$0 (gratis)</v>
      </c>
      <c r="D7" s="5" t="str">
        <f t="shared" ref="D7" si="9">"$"&amp;H7&amp;" (gratis)"</f>
        <v>$0 (gratis)</v>
      </c>
      <c r="F7" s="3">
        <v>0</v>
      </c>
      <c r="G7" s="3">
        <v>0</v>
      </c>
      <c r="H7" s="3">
        <v>0</v>
      </c>
    </row>
    <row r="8" spans="1:16" ht="16.5" x14ac:dyDescent="0.25">
      <c r="A8" s="1" t="s">
        <v>10</v>
      </c>
      <c r="B8" s="5" t="str">
        <f>"$"&amp;F8&amp;" USD"</f>
        <v>$162 USD</v>
      </c>
      <c r="C8" s="5" t="str">
        <f t="shared" ref="C8:C9" si="10">"$"&amp;G8&amp;" USD"</f>
        <v>$162 USD</v>
      </c>
      <c r="D8" s="5" t="str">
        <f t="shared" ref="D8:D9" si="11">"$"&amp;H8&amp;" USD"</f>
        <v>$162 USD</v>
      </c>
      <c r="F8" s="3">
        <f>F22*9</f>
        <v>162</v>
      </c>
      <c r="G8" s="3">
        <f>G22*9</f>
        <v>162</v>
      </c>
      <c r="H8" s="3">
        <f>H22*9</f>
        <v>162</v>
      </c>
    </row>
    <row r="9" spans="1:16" ht="16.5" x14ac:dyDescent="0.25">
      <c r="A9" s="1" t="s">
        <v>11</v>
      </c>
      <c r="B9" s="5" t="str">
        <f>"$"&amp;F9&amp;" USD"</f>
        <v>$600 USD</v>
      </c>
      <c r="C9" s="5" t="str">
        <f t="shared" si="10"/>
        <v>$713 USD</v>
      </c>
      <c r="D9" s="5" t="str">
        <f t="shared" si="11"/>
        <v>$796 USD</v>
      </c>
      <c r="F9" s="3">
        <f>SUM(F8,F6,F4,F2)</f>
        <v>600</v>
      </c>
      <c r="G9" s="3">
        <f t="shared" ref="G9:H9" si="12">SUM(G8,G6,G4,G2)</f>
        <v>713</v>
      </c>
      <c r="H9" s="3">
        <f t="shared" si="12"/>
        <v>796</v>
      </c>
    </row>
    <row r="10" spans="1:16" ht="16.5" x14ac:dyDescent="0.25">
      <c r="A10" s="1" t="s">
        <v>12</v>
      </c>
      <c r="B10" s="5" t="str">
        <f>"$"&amp;F10&amp;" USD/año"</f>
        <v>$450 USD/año</v>
      </c>
      <c r="C10" s="5" t="str">
        <f t="shared" ref="C10:D10" si="13">"$"&amp;G10&amp;" USD/año"</f>
        <v>$513 USD/año</v>
      </c>
      <c r="D10" s="5" t="str">
        <f t="shared" si="13"/>
        <v>$558 USD/año</v>
      </c>
      <c r="F10" s="3">
        <f>F9-F2</f>
        <v>450</v>
      </c>
      <c r="G10" s="3">
        <f>G9-G2</f>
        <v>513</v>
      </c>
      <c r="H10" s="3">
        <f t="shared" ref="H10" si="14">H9-H2</f>
        <v>558</v>
      </c>
    </row>
    <row r="11" spans="1:16" ht="16.5" x14ac:dyDescent="0.25">
      <c r="A11" s="1" t="s">
        <v>13</v>
      </c>
      <c r="B11" s="5" t="str">
        <f>"$"&amp;F11&amp;" USD"</f>
        <v>$200 USD</v>
      </c>
      <c r="C11" s="5" t="str">
        <f t="shared" ref="C11" si="15">"$"&amp;G11&amp;" USD"</f>
        <v>$257 USD</v>
      </c>
      <c r="D11" s="5" t="str">
        <f t="shared" ref="D11" si="16">"$"&amp;H11&amp;" USD"</f>
        <v>$300 USD</v>
      </c>
      <c r="F11" s="3">
        <f>28+J11+N11+F2</f>
        <v>200</v>
      </c>
      <c r="G11" s="3">
        <f>35+K11+O11+G2</f>
        <v>257</v>
      </c>
      <c r="H11" s="3">
        <f>40+L11+P11+H2</f>
        <v>300</v>
      </c>
      <c r="J11" s="3">
        <v>4</v>
      </c>
      <c r="K11" s="3">
        <v>4</v>
      </c>
      <c r="L11" s="3">
        <v>4</v>
      </c>
      <c r="N11" s="3">
        <v>18</v>
      </c>
      <c r="O11" s="3">
        <v>18</v>
      </c>
      <c r="P11" s="3">
        <v>18</v>
      </c>
    </row>
    <row r="12" spans="1:16" ht="16.5" x14ac:dyDescent="0.25">
      <c r="A12" s="1" t="s">
        <v>15</v>
      </c>
      <c r="B12" s="5" t="s">
        <v>14</v>
      </c>
      <c r="C12" s="5" t="s">
        <v>14</v>
      </c>
      <c r="D12" s="5" t="s">
        <v>14</v>
      </c>
      <c r="F12" s="3">
        <v>0</v>
      </c>
      <c r="G12" s="3">
        <v>0</v>
      </c>
      <c r="H12" s="3">
        <v>0</v>
      </c>
    </row>
    <row r="13" spans="1:16" ht="16.5" x14ac:dyDescent="0.25">
      <c r="A13" s="1" t="s">
        <v>16</v>
      </c>
      <c r="B13" s="5" t="str">
        <f>"$"&amp;F13&amp;" USD"</f>
        <v>$50 USD</v>
      </c>
      <c r="C13" s="5" t="str">
        <f t="shared" ref="C13" si="17">"$"&amp;G13&amp;" USD"</f>
        <v>$57 USD</v>
      </c>
      <c r="D13" s="5" t="str">
        <f t="shared" ref="D13" si="18">"$"&amp;H13&amp;" USD"</f>
        <v>$62 USD</v>
      </c>
      <c r="F13" s="3">
        <f>F11-F2</f>
        <v>50</v>
      </c>
      <c r="G13" s="3">
        <f t="shared" ref="G13:H13" si="19">G11-G2</f>
        <v>57</v>
      </c>
      <c r="H13" s="3">
        <f t="shared" si="19"/>
        <v>62</v>
      </c>
    </row>
    <row r="14" spans="1:16" ht="16.5" x14ac:dyDescent="0.25">
      <c r="A14" s="1"/>
      <c r="B14" s="5"/>
      <c r="C14" s="5"/>
      <c r="D14" s="5"/>
    </row>
    <row r="15" spans="1:16" ht="16.5" x14ac:dyDescent="0.25">
      <c r="A15" s="1" t="s">
        <v>17</v>
      </c>
      <c r="B15" s="2" t="s">
        <v>1</v>
      </c>
      <c r="C15" s="2" t="s">
        <v>2</v>
      </c>
      <c r="D15" s="2" t="s">
        <v>3</v>
      </c>
      <c r="G15" s="7"/>
      <c r="H15" s="7"/>
    </row>
    <row r="16" spans="1:16" ht="16.5" x14ac:dyDescent="0.25">
      <c r="A16" s="1" t="s">
        <v>18</v>
      </c>
      <c r="B16" s="5" t="s">
        <v>14</v>
      </c>
      <c r="C16" s="5" t="str">
        <f>"10% → $"&amp;G16&amp;" USD"</f>
        <v>10% → $180 USD</v>
      </c>
      <c r="D16" s="5" t="str">
        <f>"15% → $"&amp;H16&amp;" USD"</f>
        <v>15% → $202 USD</v>
      </c>
      <c r="F16" s="3">
        <v>0</v>
      </c>
      <c r="G16" s="3">
        <f>ROUNDDOWN(G2-(G2*0.1),0)</f>
        <v>180</v>
      </c>
      <c r="H16" s="3">
        <f>ROUNDDOWN(H2-(H2*0.15),0)</f>
        <v>202</v>
      </c>
    </row>
    <row r="17" spans="1:8" ht="16.5" x14ac:dyDescent="0.25">
      <c r="A17" s="1" t="s">
        <v>19</v>
      </c>
      <c r="B17" s="5" t="str">
        <f>"$"&amp;F17&amp;" USD"</f>
        <v>$600 USD</v>
      </c>
      <c r="C17" s="5" t="str">
        <f t="shared" ref="C17" si="20">"$"&amp;G17&amp;" USD"</f>
        <v>$693 USD</v>
      </c>
      <c r="D17" s="5" t="str">
        <f t="shared" ref="D17" si="21">"$"&amp;H17&amp;" USD"</f>
        <v>$760 USD</v>
      </c>
      <c r="F17" s="3">
        <v>600</v>
      </c>
      <c r="G17" s="3">
        <f>SUM(G8,G6,G4,G16)</f>
        <v>693</v>
      </c>
      <c r="H17" s="3">
        <f>SUM(H8,H6,H4,H16)</f>
        <v>760</v>
      </c>
    </row>
    <row r="18" spans="1:8" ht="33" x14ac:dyDescent="0.25">
      <c r="A18" s="1" t="s">
        <v>21</v>
      </c>
      <c r="B18" s="5" t="str">
        <f>"$"&amp;F18&amp;" USD"</f>
        <v>$200 USD</v>
      </c>
      <c r="C18" s="5" t="str">
        <f t="shared" ref="C18" si="22">"$"&amp;G18&amp;" USD"</f>
        <v>$237 USD</v>
      </c>
      <c r="D18" s="5" t="str">
        <f t="shared" ref="D18" si="23">"$"&amp;H18&amp;" USD"</f>
        <v>$264 USD</v>
      </c>
      <c r="F18" s="3">
        <f>28+J11+N11+F2</f>
        <v>200</v>
      </c>
      <c r="G18" s="3">
        <f>35+K11+O11+G16</f>
        <v>237</v>
      </c>
      <c r="H18" s="3">
        <f>40+L11+P11+H16</f>
        <v>264</v>
      </c>
    </row>
    <row r="19" spans="1:8" ht="16.5" x14ac:dyDescent="0.25">
      <c r="A19" s="6" t="s">
        <v>20</v>
      </c>
      <c r="B19" s="5" t="str">
        <f>"$"&amp;F19&amp;" USD"</f>
        <v>$0 USD</v>
      </c>
      <c r="C19" s="5" t="str">
        <f t="shared" ref="C19" si="24">"$"&amp;G19&amp;" USD"</f>
        <v>$20 USD</v>
      </c>
      <c r="D19" s="5" t="str">
        <f t="shared" ref="D19" si="25">"$"&amp;H19&amp;" USD"</f>
        <v>$36 USD</v>
      </c>
      <c r="F19" s="3">
        <f>F9-F17</f>
        <v>0</v>
      </c>
      <c r="G19" s="3">
        <f t="shared" ref="G19:H19" si="26">G9-G17</f>
        <v>20</v>
      </c>
      <c r="H19" s="3">
        <f t="shared" si="26"/>
        <v>36</v>
      </c>
    </row>
    <row r="20" spans="1:8" x14ac:dyDescent="0.25">
      <c r="F20" s="3">
        <v>28</v>
      </c>
      <c r="G20" s="3">
        <v>35</v>
      </c>
      <c r="H20" s="3">
        <v>40</v>
      </c>
    </row>
    <row r="21" spans="1:8" x14ac:dyDescent="0.25">
      <c r="F21" s="3">
        <v>4</v>
      </c>
      <c r="G21" s="3">
        <v>4</v>
      </c>
      <c r="H21" s="3">
        <v>4</v>
      </c>
    </row>
    <row r="22" spans="1:8" x14ac:dyDescent="0.25">
      <c r="F22" s="3">
        <v>18</v>
      </c>
      <c r="G22" s="3">
        <v>18</v>
      </c>
      <c r="H22" s="3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445a80-a8b7-4ea7-bea2-7a377231c6b1">
      <Terms xmlns="http://schemas.microsoft.com/office/infopath/2007/PartnerControls"/>
    </lcf76f155ced4ddcb4097134ff3c332f>
    <TaxCatchAll xmlns="6978f700-1fe4-4e05-a2f5-878eaf3250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36467B79F7F64A8465CD9DFAC4351F" ma:contentTypeVersion="13" ma:contentTypeDescription="Crear nuevo documento." ma:contentTypeScope="" ma:versionID="4d3ee417d45942fc498aa54633b2301d">
  <xsd:schema xmlns:xsd="http://www.w3.org/2001/XMLSchema" xmlns:xs="http://www.w3.org/2001/XMLSchema" xmlns:p="http://schemas.microsoft.com/office/2006/metadata/properties" xmlns:ns2="d4445a80-a8b7-4ea7-bea2-7a377231c6b1" xmlns:ns3="6978f700-1fe4-4e05-a2f5-878eaf325084" targetNamespace="http://schemas.microsoft.com/office/2006/metadata/properties" ma:root="true" ma:fieldsID="b1e4bbdead8d4bf4c9dc71ee7eaf2842" ns2:_="" ns3:_="">
    <xsd:import namespace="d4445a80-a8b7-4ea7-bea2-7a377231c6b1"/>
    <xsd:import namespace="6978f700-1fe4-4e05-a2f5-878eaf3250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45a80-a8b7-4ea7-bea2-7a377231c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18a074-51a6-42d3-8380-9ff8b48b86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8f700-1fe4-4e05-a2f5-878eaf3250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5e406f3-922f-4f8a-ba9d-08b5dfb35757}" ma:internalName="TaxCatchAll" ma:showField="CatchAllData" ma:web="6978f700-1fe4-4e05-a2f5-878eaf325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1DA6E9-F5CF-4048-9578-A7D2354D911B}">
  <ds:schemaRefs>
    <ds:schemaRef ds:uri="http://schemas.microsoft.com/office/2006/metadata/properties"/>
    <ds:schemaRef ds:uri="http://schemas.microsoft.com/office/infopath/2007/PartnerControls"/>
    <ds:schemaRef ds:uri="d4445a80-a8b7-4ea7-bea2-7a377231c6b1"/>
    <ds:schemaRef ds:uri="6978f700-1fe4-4e05-a2f5-878eaf325084"/>
  </ds:schemaRefs>
</ds:datastoreItem>
</file>

<file path=customXml/itemProps2.xml><?xml version="1.0" encoding="utf-8"?>
<ds:datastoreItem xmlns:ds="http://schemas.openxmlformats.org/officeDocument/2006/customXml" ds:itemID="{57D4F3CC-107F-4021-8E26-E067E31851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47AB3-89F2-479A-B1A8-E7D517C8E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445a80-a8b7-4ea7-bea2-7a377231c6b1"/>
    <ds:schemaRef ds:uri="6978f700-1fe4-4e05-a2f5-878eaf325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Treasure Espinosa</dc:creator>
  <cp:lastModifiedBy>Daniel Treasure Espinosa</cp:lastModifiedBy>
  <dcterms:created xsi:type="dcterms:W3CDTF">2025-11-12T01:23:00Z</dcterms:created>
  <dcterms:modified xsi:type="dcterms:W3CDTF">2025-11-12T02:42:01Z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2025-11-12T02:19:35Z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fee43b9b-3b80-47af-ab03-6ef7cb7ba9bf</vt:lpwstr>
  </property>
  <property fmtid="{D5CDD505-2E9C-101B-9397-08002B2CF9AE}" pid="7" name="MSIP_Label_defa4170-0d19-0005-0004-bc88714345d2_ActionId">
    <vt:lpwstr>7db43db7-48e7-42e6-a0dd-35489bc70a71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0x010100A236467B79F7F64A8465CD9DFAC4351F</vt:lpwstr>
  </property>
</Properties>
</file>